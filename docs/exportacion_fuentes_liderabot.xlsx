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e Fuentes" sheetId="1" state="visible" r:id="rId1"/>
    <sheet xmlns:r="http://schemas.openxmlformats.org/officeDocument/2006/relationships" name="Resumen Gen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3" fillId="2" borderId="0" pivotButton="0" quotePrefix="0" xfId="0"/>
    <xf numFmtId="0" fontId="5" fillId="3" borderId="2" pivotButton="0" quotePrefix="0" xfId="0"/>
    <xf numFmtId="0" fontId="5" fillId="3" borderId="2" applyAlignment="1" pivotButton="0" quotePrefix="0" xfId="0">
      <alignment horizontal="center"/>
    </xf>
    <xf numFmtId="0" fontId="6" fillId="4" borderId="2" pivotButton="0" quotePrefix="0" xfId="0"/>
    <xf numFmtId="0" fontId="5" fillId="4" borderId="2" applyAlignment="1" pivotButton="0" quotePrefix="0" xfId="0">
      <alignment horizontal="center"/>
    </xf>
    <xf numFmtId="0" fontId="6" fillId="3" borderId="2" pivotButton="0" quotePrefix="0" xfId="0"/>
    <xf numFmtId="0" fontId="3" fillId="5" borderId="0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4" fillId="3" borderId="2" pivotButton="0" quotePrefix="0" xfId="0"/>
    <xf numFmtId="0" fontId="4" fillId="3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75" customWidth="1" min="2" max="2"/>
    <col width="18" customWidth="1" min="3" max="3"/>
    <col width="45" customWidth="1" min="4" max="4"/>
  </cols>
  <sheetData>
    <row r="1">
      <c r="A1" s="1" t="inlineStr">
        <is>
          <t>BASE DE DATOS LIDERA BOT - CATÁLOGO DE FUENTES</t>
        </is>
      </c>
    </row>
    <row r="2">
      <c r="A2" s="2" t="inlineStr">
        <is>
          <t>Exportación completa de las 50 fuentes documentales integradas en el cuaderno de trabajo.</t>
        </is>
      </c>
    </row>
    <row r="4" ht="25" customHeight="1">
      <c r="A4" s="3" t="inlineStr">
        <is>
          <t># ID</t>
        </is>
      </c>
      <c r="B4" s="4" t="inlineStr">
        <is>
          <t>Nombre / Título de la Fuente</t>
        </is>
      </c>
      <c r="C4" s="3" t="inlineStr">
        <is>
          <t>Tipo de Fuente</t>
        </is>
      </c>
      <c r="D4" s="4" t="inlineStr">
        <is>
          <t>Área Temática Principal</t>
        </is>
      </c>
    </row>
    <row r="5" ht="20" customHeight="1">
      <c r="A5" s="5" t="n">
        <v>1</v>
      </c>
      <c r="B5" s="6" t="inlineStr">
        <is>
          <t>"TRABAJO EN EQUIPO Y CLIMA ORGANIZACIONAL (Estudio realizado en colaboradores del Hotel del Campo de Quetzaltenango)"</t>
        </is>
      </c>
      <c r="C5" s="5" t="inlineStr">
        <is>
          <t>PDF</t>
        </is>
      </c>
      <c r="D5" s="6" t="inlineStr">
        <is>
          <t>Trabajo en Equipo y Clima Organizacional</t>
        </is>
      </c>
    </row>
    <row r="6" ht="20" customHeight="1">
      <c r="A6" s="7" t="n">
        <v>2</v>
      </c>
      <c r="B6" s="8" t="inlineStr">
        <is>
          <t>1.10 LA COMUNICACIÓN EDUCATIVA EDUCATIONAL COMMUNICATION Autora: Lizett Guerra Lorenzo. GRUPO - Editorial Redipe</t>
        </is>
      </c>
      <c r="C6" s="7" t="inlineStr">
        <is>
          <t>PDF</t>
        </is>
      </c>
      <c r="D6" s="8" t="inlineStr">
        <is>
          <t>Comunicación Educativa</t>
        </is>
      </c>
    </row>
    <row r="7" ht="20" customHeight="1">
      <c r="A7" s="5" t="n">
        <v>3</v>
      </c>
      <c r="B7" s="6" t="inlineStr">
        <is>
          <t>20 tipos de liderazgo y ejemplos reales · [2025] - Victor Hugo Manzanilla</t>
        </is>
      </c>
      <c r="C7" s="5" t="inlineStr">
        <is>
          <t>URL</t>
        </is>
      </c>
      <c r="D7" s="6" t="inlineStr">
        <is>
          <t>Modelos de Liderazgo</t>
        </is>
      </c>
    </row>
    <row r="8" ht="20" customHeight="1">
      <c r="A8" s="7" t="n">
        <v>4</v>
      </c>
      <c r="B8" s="8" t="inlineStr">
        <is>
          <t>5 modelos de toma de decisiones que probar si te atascas | The Workstream - Atlassian</t>
        </is>
      </c>
      <c r="C8" s="7" t="inlineStr">
        <is>
          <t>URL</t>
        </is>
      </c>
      <c r="D8" s="8" t="inlineStr">
        <is>
          <t>Toma de Decisiones y Gestión</t>
        </is>
      </c>
    </row>
    <row r="9" ht="20" customHeight="1">
      <c r="A9" s="5" t="n">
        <v>5</v>
      </c>
      <c r="B9" s="6" t="inlineStr">
        <is>
          <t>700-Dinámicas-grupales.pdf - Campus Educativo</t>
        </is>
      </c>
      <c r="C9" s="5" t="inlineStr">
        <is>
          <t>PDF</t>
        </is>
      </c>
      <c r="D9" s="6" t="inlineStr">
        <is>
          <t>Dinámicas de Grupo y Trabajo Colaborativo</t>
        </is>
      </c>
    </row>
    <row r="10" ht="20" customHeight="1">
      <c r="A10" s="7" t="n">
        <v>6</v>
      </c>
      <c r="B10" s="8" t="inlineStr">
        <is>
          <t>Análisis Del Liderazgo Inclusivo Femenino En La Educación Superior En Colombia 2020-2025 - Control Visible</t>
        </is>
      </c>
      <c r="C10" s="7" t="inlineStr">
        <is>
          <t>PDF</t>
        </is>
      </c>
      <c r="D10" s="8" t="inlineStr">
        <is>
          <t>Liderazgo Inclusivo y Equidad de Género</t>
        </is>
      </c>
    </row>
    <row r="11" ht="20" customHeight="1">
      <c r="A11" s="5" t="n">
        <v>7</v>
      </c>
      <c r="B11" s="6" t="inlineStr">
        <is>
          <t>Aprendizaje Colaborativo y Cooperativo</t>
        </is>
      </c>
      <c r="C11" s="5" t="inlineStr">
        <is>
          <t>PDF</t>
        </is>
      </c>
      <c r="D11" s="6" t="inlineStr">
        <is>
          <t>Aprendizaje Colaborativo</t>
        </is>
      </c>
    </row>
    <row r="12" ht="20" customHeight="1">
      <c r="A12" s="7" t="n">
        <v>8</v>
      </c>
      <c r="B12" s="8" t="inlineStr">
        <is>
          <t>Aprendizaje colaborativo en la educación superior: una revisión sistemática sobre fundamentos, prácticas y desafíos actuales (2021-2025)</t>
        </is>
      </c>
      <c r="C12" s="7" t="inlineStr">
        <is>
          <t>URL</t>
        </is>
      </c>
      <c r="D12" s="8" t="inlineStr">
        <is>
          <t>Aprendizaje Colaborativo</t>
        </is>
      </c>
    </row>
    <row r="13" ht="20" customHeight="1">
      <c r="A13" s="5" t="n">
        <v>9</v>
      </c>
      <c r="B13" s="6" t="inlineStr">
        <is>
          <t>Apuntes acerca de la comunicación educativa y concepciones en función de los procesos formativos en línea - Dialnet</t>
        </is>
      </c>
      <c r="C13" s="5" t="inlineStr">
        <is>
          <t>PDF</t>
        </is>
      </c>
      <c r="D13" s="6" t="inlineStr">
        <is>
          <t>Comunicación Educativa y Entornos Virtuales</t>
        </is>
      </c>
    </row>
    <row r="14" ht="20" customHeight="1">
      <c r="A14" s="7" t="n">
        <v>10</v>
      </c>
      <c r="B14" s="8" t="inlineStr">
        <is>
          <t>Avances y desafíos de la gestión de la ética pública en América Latina - Revista Española de la Transparencia</t>
        </is>
      </c>
      <c r="C14" s="7" t="inlineStr">
        <is>
          <t>PDF</t>
        </is>
      </c>
      <c r="D14" s="8" t="inlineStr">
        <is>
          <t>Ética Pública y Gestión</t>
        </is>
      </c>
    </row>
    <row r="15" ht="20" customHeight="1">
      <c r="A15" s="5" t="n">
        <v>11</v>
      </c>
      <c r="B15" s="6" t="inlineStr">
        <is>
          <t>Diferencia entre el jefe y el líder: guía y ejemplos [2026] - Asana</t>
        </is>
      </c>
      <c r="C15" s="5" t="inlineStr">
        <is>
          <t>URL</t>
        </is>
      </c>
      <c r="D15" s="6" t="inlineStr">
        <is>
          <t>Liderazgo vs Gestión</t>
        </is>
      </c>
    </row>
    <row r="16" ht="20" customHeight="1">
      <c r="A16" s="7" t="n">
        <v>12</v>
      </c>
      <c r="B16" s="8" t="inlineStr">
        <is>
          <t>Diferencia entre grupo y equipo: qué son y en qué se distinguen - Asana</t>
        </is>
      </c>
      <c r="C16" s="7" t="inlineStr">
        <is>
          <t>URL</t>
        </is>
      </c>
      <c r="D16" s="8" t="inlineStr">
        <is>
          <t>Trabajo en Equipo</t>
        </is>
      </c>
    </row>
    <row r="17" ht="20" customHeight="1">
      <c r="A17" s="5" t="n">
        <v>13</v>
      </c>
      <c r="B17" s="6" t="inlineStr">
        <is>
          <t>Dinámicas de trabajo colaborativo - AulaPlaneta</t>
        </is>
      </c>
      <c r="C17" s="5" t="inlineStr">
        <is>
          <t>PDF</t>
        </is>
      </c>
      <c r="D17" s="6" t="inlineStr">
        <is>
          <t>Dinámicas de Grupo y Trabajo Colaborativo</t>
        </is>
      </c>
    </row>
    <row r="18" ht="20" customHeight="1">
      <c r="A18" s="7" t="n">
        <v>14</v>
      </c>
      <c r="B18" s="8" t="inlineStr">
        <is>
          <t>EL LIDERAZGO EN LAS INSTITUCIONES EDUCATIVAS - Ciencia Latina Revista Científica Multidisciplinar</t>
        </is>
      </c>
      <c r="C18" s="7" t="inlineStr">
        <is>
          <t>PDF</t>
        </is>
      </c>
      <c r="D18" s="8" t="inlineStr">
        <is>
          <t>Liderazgo Educativo</t>
        </is>
      </c>
    </row>
    <row r="19" ht="20" customHeight="1">
      <c r="A19" s="5" t="n">
        <v>15</v>
      </c>
      <c r="B19" s="6" t="inlineStr">
        <is>
          <t>Educomunicación - Wikipedia, la enciclopedia libre</t>
        </is>
      </c>
      <c r="C19" s="5" t="inlineStr">
        <is>
          <t>URL</t>
        </is>
      </c>
      <c r="D19" s="6" t="inlineStr">
        <is>
          <t>Educomunicación</t>
        </is>
      </c>
    </row>
    <row r="20" ht="20" customHeight="1">
      <c r="A20" s="7" t="n">
        <v>16</v>
      </c>
      <c r="B20" s="8" t="inlineStr">
        <is>
          <t>El docente como influencer: Redes sociales, ética e imagen profesional en la era digital</t>
        </is>
      </c>
      <c r="C20" s="7" t="inlineStr">
        <is>
          <t>URL</t>
        </is>
      </c>
      <c r="D20" s="8" t="inlineStr">
        <is>
          <t>Ética, Docencia y Comunicación Digital</t>
        </is>
      </c>
    </row>
    <row r="21" ht="20" customHeight="1">
      <c r="A21" s="5" t="n">
        <v>17</v>
      </c>
      <c r="B21" s="6" t="inlineStr">
        <is>
          <t>El trabajo en equipo en el aula virtual universitaria: una experiencia educativa destacable y favorable</t>
        </is>
      </c>
      <c r="C21" s="5" t="inlineStr">
        <is>
          <t>PDF</t>
        </is>
      </c>
      <c r="D21" s="6" t="inlineStr">
        <is>
          <t>Trabajo en Equipo y Entornos Virtuales</t>
        </is>
      </c>
    </row>
    <row r="22" ht="20" customHeight="1">
      <c r="A22" s="7" t="n">
        <v>18</v>
      </c>
      <c r="B22" s="8" t="inlineStr">
        <is>
          <t>Equipos remotos: liderazgo y gestión eficaz - WorkMeter</t>
        </is>
      </c>
      <c r="C22" s="7" t="inlineStr">
        <is>
          <t>URL</t>
        </is>
      </c>
      <c r="D22" s="8" t="inlineStr">
        <is>
          <t>Equipos Remotos y Liderazgo</t>
        </is>
      </c>
    </row>
    <row r="23" ht="20" customHeight="1">
      <c r="A23" s="5" t="n">
        <v>19</v>
      </c>
      <c r="B23" s="6" t="inlineStr">
        <is>
          <t>Estudio comparativo de la Influencia del estilo de liderazgo y la congruencia de valores en la eficacia de empresas privadas e Instituciones Públicas - SciELO</t>
        </is>
      </c>
      <c r="C23" s="5" t="inlineStr">
        <is>
          <t>URL</t>
        </is>
      </c>
      <c r="D23" s="6" t="inlineStr">
        <is>
          <t>Estilos de Liderazgo y Eficacia</t>
        </is>
      </c>
    </row>
    <row r="24" ht="20" customHeight="1">
      <c r="A24" s="7" t="n">
        <v>20</v>
      </c>
      <c r="B24" s="8" t="inlineStr">
        <is>
          <t>Guía para Gerentes: ¿Cómo resolver Conflictos Laborales?</t>
        </is>
      </c>
      <c r="C24" s="7" t="inlineStr">
        <is>
          <t>URL</t>
        </is>
      </c>
      <c r="D24" s="8" t="inlineStr">
        <is>
          <t>Resolución de Conflictos</t>
        </is>
      </c>
    </row>
    <row r="25" ht="20" customHeight="1">
      <c r="A25" s="5" t="n">
        <v>21</v>
      </c>
      <c r="B25" s="6" t="inlineStr">
        <is>
          <t>Habilidades directivas más buscadas en 2026 | Liderazgo UIE</t>
        </is>
      </c>
      <c r="C25" s="5" t="inlineStr">
        <is>
          <t>URL</t>
        </is>
      </c>
      <c r="D25" s="6" t="inlineStr">
        <is>
          <t>Habilidades Directivas y Liderazgo</t>
        </is>
      </c>
    </row>
    <row r="26" ht="20" customHeight="1">
      <c r="A26" s="7" t="n">
        <v>22</v>
      </c>
      <c r="B26" s="8" t="inlineStr">
        <is>
          <t>Impacto del liderazgo transformacional en entornos educativos: revisión sistemática de las prácticas y resultados - Impulso</t>
        </is>
      </c>
      <c r="C26" s="7" t="inlineStr">
        <is>
          <t>PDF</t>
        </is>
      </c>
      <c r="D26" s="8" t="inlineStr">
        <is>
          <t>Liderazgo Transformacional</t>
        </is>
      </c>
    </row>
    <row r="27" ht="20" customHeight="1">
      <c r="A27" s="5" t="n">
        <v>23</v>
      </c>
      <c r="B27" s="6" t="inlineStr">
        <is>
          <t>Influencia del liderazgo ético sobre la cultura organizacional ética. Estudio de caso en una organización colombiana - Redalyc</t>
        </is>
      </c>
      <c r="C27" s="5" t="inlineStr">
        <is>
          <t>PDF</t>
        </is>
      </c>
      <c r="D27" s="6" t="inlineStr">
        <is>
          <t>Liderazgo Ético</t>
        </is>
      </c>
    </row>
    <row r="28" ht="20" customHeight="1">
      <c r="A28" s="7" t="n">
        <v>24</v>
      </c>
      <c r="B28" s="8" t="inlineStr">
        <is>
          <t>Inteligencia emocional y liderazgo en las organizaciones - Dialnet</t>
        </is>
      </c>
      <c r="C28" s="7" t="inlineStr">
        <is>
          <t>PDF</t>
        </is>
      </c>
      <c r="D28" s="8" t="inlineStr">
        <is>
          <t>Inteligencia Emocional y Liderazgo</t>
        </is>
      </c>
    </row>
    <row r="29" ht="20" customHeight="1">
      <c r="A29" s="5" t="n">
        <v>25</v>
      </c>
      <c r="B29" s="6" t="inlineStr">
        <is>
          <t>LIDERAZGO PARA UN SERVICIO PÚBLICO DE ALTO RENDIMIENTO: HACIA UN SISTEMA SENIOR DE ADMINISTRACIÓN PÚBLICA EN AMÉRICA LATINA</t>
        </is>
      </c>
      <c r="C29" s="5" t="inlineStr">
        <is>
          <t>PDF</t>
        </is>
      </c>
      <c r="D29" s="6" t="inlineStr">
        <is>
          <t>Liderazgo Público</t>
        </is>
      </c>
    </row>
    <row r="30" ht="20" customHeight="1">
      <c r="A30" s="7" t="n">
        <v>26</v>
      </c>
      <c r="B30" s="8" t="inlineStr">
        <is>
          <t>La comunicación no verbal en el aula - Dialnet</t>
        </is>
      </c>
      <c r="C30" s="7" t="inlineStr">
        <is>
          <t>PDF</t>
        </is>
      </c>
      <c r="D30" s="8" t="inlineStr">
        <is>
          <t>Comunicación Educativa y No Verbal</t>
        </is>
      </c>
    </row>
    <row r="31" ht="20" customHeight="1">
      <c r="A31" s="5" t="n">
        <v>27</v>
      </c>
      <c r="B31" s="6" t="inlineStr">
        <is>
          <t>La educomunicación en Latinoamérica: claves del pasado, retos del futuro - Dialnet</t>
        </is>
      </c>
      <c r="C31" s="5" t="inlineStr">
        <is>
          <t>URL</t>
        </is>
      </c>
      <c r="D31" s="6" t="inlineStr">
        <is>
          <t>Educomunicación</t>
        </is>
      </c>
    </row>
    <row r="32" ht="20" customHeight="1">
      <c r="A32" s="7" t="n">
        <v>28</v>
      </c>
      <c r="B32" s="8" t="inlineStr">
        <is>
          <t>La inteligencia emocional y el trabajo en equipo - ADR Formación</t>
        </is>
      </c>
      <c r="C32" s="7" t="inlineStr">
        <is>
          <t>URL</t>
        </is>
      </c>
      <c r="D32" s="8" t="inlineStr">
        <is>
          <t>Inteligencia Emocional y Trabajo en Equipo</t>
        </is>
      </c>
    </row>
    <row r="33" ht="20" customHeight="1">
      <c r="A33" s="5" t="n">
        <v>29</v>
      </c>
      <c r="B33" s="6" t="inlineStr">
        <is>
          <t>Las 5 Cs del trabajo en equipo - Cerem Global Business School</t>
        </is>
      </c>
      <c r="C33" s="5" t="inlineStr">
        <is>
          <t>URL</t>
        </is>
      </c>
      <c r="D33" s="6" t="inlineStr">
        <is>
          <t>Trabajo en Equipo</t>
        </is>
      </c>
    </row>
    <row r="34" ht="20" customHeight="1">
      <c r="A34" s="7" t="n">
        <v>30</v>
      </c>
      <c r="B34" s="8" t="inlineStr">
        <is>
          <t>Las mejores herramientas de comunicación para equipos remotos en 2026: La guía completa - BridgeApp</t>
        </is>
      </c>
      <c r="C34" s="7" t="inlineStr">
        <is>
          <t>URL</t>
        </is>
      </c>
      <c r="D34" s="8" t="inlineStr">
        <is>
          <t>Equipos Remotos y Comunicación</t>
        </is>
      </c>
    </row>
    <row r="35" ht="20" customHeight="1">
      <c r="A35" s="5" t="n">
        <v>31</v>
      </c>
      <c r="B35" s="6" t="inlineStr">
        <is>
          <t>Liderazgo 7.0: un modelo integrador basado en revisión sistemática de enfoques contemporáneos - Universidad Icesi</t>
        </is>
      </c>
      <c r="C35" s="5" t="inlineStr">
        <is>
          <t>PDF</t>
        </is>
      </c>
      <c r="D35" s="6" t="inlineStr">
        <is>
          <t>Modelos de Liderazgo</t>
        </is>
      </c>
    </row>
    <row r="36" ht="20" customHeight="1">
      <c r="A36" s="7" t="n">
        <v>32</v>
      </c>
      <c r="B36" s="8" t="inlineStr">
        <is>
          <t>Liderazgo distribuido en escuelas públicas y relación con sus categorías de desempeño</t>
        </is>
      </c>
      <c r="C36" s="7" t="inlineStr">
        <is>
          <t>URL</t>
        </is>
      </c>
      <c r="D36" s="8" t="inlineStr">
        <is>
          <t>Liderazgo Distribuido</t>
        </is>
      </c>
    </row>
    <row r="37" ht="20" customHeight="1">
      <c r="A37" s="5" t="n">
        <v>33</v>
      </c>
      <c r="B37" s="6" t="inlineStr">
        <is>
          <t>Liderazgo situacional: el modelo de Hersey y Blanchard explicado paso a paso</t>
        </is>
      </c>
      <c r="C37" s="5" t="inlineStr">
        <is>
          <t>URL</t>
        </is>
      </c>
      <c r="D37" s="6" t="inlineStr">
        <is>
          <t>Liderazgo Situacional</t>
        </is>
      </c>
    </row>
    <row r="38" ht="20" customHeight="1">
      <c r="A38" s="7" t="n">
        <v>34</v>
      </c>
      <c r="B38" s="8" t="inlineStr">
        <is>
          <t>Liderazgo transformacional en las organizaciones sanitarias. Una revisión bibliográfica. - Dialnet</t>
        </is>
      </c>
      <c r="C38" s="7" t="inlineStr">
        <is>
          <t>PDF</t>
        </is>
      </c>
      <c r="D38" s="8" t="inlineStr">
        <is>
          <t>Liderazgo Transformacional</t>
        </is>
      </c>
    </row>
    <row r="39" ht="20" customHeight="1">
      <c r="A39" s="5" t="n">
        <v>35</v>
      </c>
      <c r="B39" s="6" t="inlineStr">
        <is>
          <t>Liderazgo y Equidad Escolar</t>
        </is>
      </c>
      <c r="C39" s="5" t="inlineStr">
        <is>
          <t>Markdown / Nota</t>
        </is>
      </c>
      <c r="D39" s="6" t="inlineStr">
        <is>
          <t>Liderazgo Educativo y Equidad</t>
        </is>
      </c>
    </row>
    <row r="40" ht="20" customHeight="1">
      <c r="A40" s="7" t="n">
        <v>36</v>
      </c>
      <c r="B40" s="8" t="inlineStr">
        <is>
          <t>Los desafíos del trabajo en equipo y el aprendizaje en entornos virtuales - UNVM</t>
        </is>
      </c>
      <c r="C40" s="7" t="inlineStr">
        <is>
          <t>PDF</t>
        </is>
      </c>
      <c r="D40" s="8" t="inlineStr">
        <is>
          <t>Trabajo en Equipo y Entornos Virtuales</t>
        </is>
      </c>
    </row>
    <row r="41" ht="20" customHeight="1">
      <c r="A41" s="5" t="n">
        <v>37</v>
      </c>
      <c r="B41" s="6" t="inlineStr">
        <is>
          <t>Modelos de madurez de equipos: Las etapas de Tuckman - Cátedra Viewnext USAL</t>
        </is>
      </c>
      <c r="C41" s="5" t="inlineStr">
        <is>
          <t>URL</t>
        </is>
      </c>
      <c r="D41" s="6" t="inlineStr">
        <is>
          <t>Desarrollo de Equipos</t>
        </is>
      </c>
    </row>
    <row r="42" ht="20" customHeight="1">
      <c r="A42" s="7" t="n">
        <v>38</v>
      </c>
      <c r="B42" s="8" t="inlineStr">
        <is>
          <t>Modelos teóricos contemporáneos de la comunicación educativa y su influencia en el proceso de enseñanza-aprendizaje</t>
        </is>
      </c>
      <c r="C42" s="7" t="inlineStr">
        <is>
          <t>PDF</t>
        </is>
      </c>
      <c r="D42" s="8" t="inlineStr">
        <is>
          <t>Comunicación Educativa</t>
        </is>
      </c>
    </row>
    <row r="43" ht="20" customHeight="1">
      <c r="A43" s="5" t="n">
        <v>39</v>
      </c>
      <c r="B43" s="6" t="inlineStr">
        <is>
          <t>Mujeres en el liderazgo: rompiendo barreras, construyendo el futuro - Revistas UAQ</t>
        </is>
      </c>
      <c r="C43" s="5" t="inlineStr">
        <is>
          <t>PDF</t>
        </is>
      </c>
      <c r="D43" s="6" t="inlineStr">
        <is>
          <t>Liderazgo e Inclusión</t>
        </is>
      </c>
    </row>
    <row r="44" ht="20" customHeight="1">
      <c r="A44" s="7" t="n">
        <v>40</v>
      </c>
      <c r="B44" s="8" t="inlineStr">
        <is>
          <t>Neurociencia del liderazgo, ética del carácter y resiliencia estratégica: La tríada de la coherencia ejecutiva - Revistas Ulatina</t>
        </is>
      </c>
      <c r="C44" s="7" t="inlineStr">
        <is>
          <t>PDF</t>
        </is>
      </c>
      <c r="D44" s="8" t="inlineStr">
        <is>
          <t>Neurociencia y Liderazgo Ético</t>
        </is>
      </c>
    </row>
    <row r="45" ht="20" customHeight="1">
      <c r="A45" s="5" t="n">
        <v>41</v>
      </c>
      <c r="B45" s="6" t="inlineStr">
        <is>
          <t>Roles de Equipo Belbin</t>
        </is>
      </c>
      <c r="C45" s="5" t="inlineStr">
        <is>
          <t>URL</t>
        </is>
      </c>
      <c r="D45" s="6" t="inlineStr">
        <is>
          <t>Roles de Equipo</t>
        </is>
      </c>
    </row>
    <row r="46" ht="20" customHeight="1">
      <c r="A46" s="7" t="n">
        <v>42</v>
      </c>
      <c r="B46" s="8" t="inlineStr">
        <is>
          <t>Tendencias de investigación en comunicación-educación y tecnologías digitales | Virtualis</t>
        </is>
      </c>
      <c r="C46" s="7" t="inlineStr">
        <is>
          <t>URL</t>
        </is>
      </c>
      <c r="D46" s="8" t="inlineStr">
        <is>
          <t>Comunicación Educativa y Tecnología</t>
        </is>
      </c>
    </row>
    <row r="47" ht="20" customHeight="1">
      <c r="A47" s="5" t="n">
        <v>43</v>
      </c>
      <c r="B47" s="6" t="inlineStr">
        <is>
          <t>Trabajo en equipo como estrategia de aprendizaje en las ciencias sociales</t>
        </is>
      </c>
      <c r="C47" s="5" t="inlineStr">
        <is>
          <t>URL</t>
        </is>
      </c>
      <c r="D47" s="6" t="inlineStr">
        <is>
          <t>Trabajo en Equipo</t>
        </is>
      </c>
    </row>
    <row r="48" ht="20" customHeight="1">
      <c r="A48" s="7" t="n">
        <v>44</v>
      </c>
      <c r="B48" s="8" t="inlineStr">
        <is>
          <t>Trabajo en equipo: ventajas, 5 C y aplicación práctica [2026] - Asana</t>
        </is>
      </c>
      <c r="C48" s="7" t="inlineStr">
        <is>
          <t>URL</t>
        </is>
      </c>
      <c r="D48" s="8" t="inlineStr">
        <is>
          <t>Trabajo en Equipo</t>
        </is>
      </c>
    </row>
    <row r="49" ht="20" customHeight="1">
      <c r="A49" s="5" t="n">
        <v>45</v>
      </c>
      <c r="B49" s="6" t="inlineStr">
        <is>
          <t>TÉCNICAS PARA PROMOVER LA COMUNICACIÓN ASERTIVA Y FORTALECER LAS RELACIONES INTERPERSONALES EN EL ENTORNO EDUCATIVO</t>
        </is>
      </c>
      <c r="C49" s="5" t="inlineStr">
        <is>
          <t>PDF</t>
        </is>
      </c>
      <c r="D49" s="6" t="inlineStr">
        <is>
          <t>Comunicación Asertiva</t>
        </is>
      </c>
    </row>
    <row r="50" ht="20" customHeight="1">
      <c r="A50" s="7" t="n">
        <v>46</v>
      </c>
      <c r="B50" s="8" t="inlineStr">
        <is>
          <t>Técnicas para implementar el trabajo en equipo en las empresas - Repositorio UniLibre</t>
        </is>
      </c>
      <c r="C50" s="7" t="inlineStr">
        <is>
          <t>PDF</t>
        </is>
      </c>
      <c r="D50" s="8" t="inlineStr">
        <is>
          <t>Trabajo en Equipo</t>
        </is>
      </c>
    </row>
    <row r="51" ht="20" customHeight="1">
      <c r="A51" s="5" t="n">
        <v>47</v>
      </c>
      <c r="B51" s="6" t="inlineStr">
        <is>
          <t>kaplun-el_comunicador_popular_0.pdf - Facultad de Periodismo y Comunicación Social</t>
        </is>
      </c>
      <c r="C51" s="5" t="inlineStr">
        <is>
          <t>PDF</t>
        </is>
      </c>
      <c r="D51" s="6" t="inlineStr">
        <is>
          <t>Educomunicación y Comunicación Popular</t>
        </is>
      </c>
    </row>
    <row r="52" ht="20" customHeight="1">
      <c r="A52" s="7" t="n">
        <v>48</v>
      </c>
      <c r="B52" s="8" t="inlineStr">
        <is>
          <t>liderazgo transformacional en el fortalecimiento de políticas y programas en la educación superior: un estudio - Ibero Ciencias</t>
        </is>
      </c>
      <c r="C52" s="7" t="inlineStr">
        <is>
          <t>PDF</t>
        </is>
      </c>
      <c r="D52" s="8" t="inlineStr">
        <is>
          <t>Liderazgo Transformacional</t>
        </is>
      </c>
    </row>
    <row r="53" ht="20" customHeight="1">
      <c r="A53" s="5" t="n">
        <v>49</v>
      </c>
      <c r="B53" s="6" t="inlineStr">
        <is>
          <t>¿Gestión y liderazgo son lo mismo?</t>
        </is>
      </c>
      <c r="C53" s="5" t="inlineStr">
        <is>
          <t>URL</t>
        </is>
      </c>
      <c r="D53" s="6" t="inlineStr">
        <is>
          <t>Liderazgo vs Gestión</t>
        </is>
      </c>
    </row>
    <row r="54" ht="20" customHeight="1">
      <c r="A54" s="7" t="n">
        <v>50</v>
      </c>
      <c r="B54" s="8" t="inlineStr">
        <is>
          <t>¿Qué es el liderazgo transformacional? | Harvard Deusto las revistas</t>
        </is>
      </c>
      <c r="C54" s="7" t="inlineStr">
        <is>
          <t>URL</t>
        </is>
      </c>
      <c r="D54" s="8" t="inlineStr">
        <is>
          <t>Liderazgo Transformacional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1" t="inlineStr">
        <is>
          <t>RESUMEN Y MÉTRICAS DE LA BASE DE DATOS</t>
        </is>
      </c>
    </row>
    <row r="2">
      <c r="A2" s="2" t="inlineStr">
        <is>
          <t>Análisis estadístico del catálogo de fuentes del LideraBot</t>
        </is>
      </c>
    </row>
    <row r="4">
      <c r="A4" s="9" t="inlineStr">
        <is>
          <t>Métrica General</t>
        </is>
      </c>
      <c r="B4" s="9" t="inlineStr">
        <is>
          <t>Cantidad / Valor</t>
        </is>
      </c>
    </row>
    <row r="5">
      <c r="A5" s="10" t="inlineStr">
        <is>
          <t>Total de Fuentes Registradas</t>
        </is>
      </c>
      <c r="B5" s="11">
        <f>'Catálogo de Fuentes'!A54-4</f>
        <v/>
      </c>
    </row>
    <row r="6">
      <c r="A6" s="12" t="inlineStr">
        <is>
          <t>Documentos PDF</t>
        </is>
      </c>
      <c r="B6" s="13">
        <f>COUNTIF('Catálogo de Fuentes'!C5:C54, "PDF")</f>
        <v/>
      </c>
    </row>
    <row r="7">
      <c r="A7" s="14" t="inlineStr">
        <is>
          <t>Enlaces Web (URL)</t>
        </is>
      </c>
      <c r="B7" s="11">
        <f>COUNTIF('Catálogo de Fuentes'!C5:C54, "URL")</f>
        <v/>
      </c>
    </row>
    <row r="8">
      <c r="A8" s="12" t="inlineStr">
        <is>
          <t>Notas / Documentos Markdown</t>
        </is>
      </c>
      <c r="B8" s="13">
        <f>COUNTIF('Catálogo de Fuentes'!C5:C54, "*Markdown*")</f>
        <v/>
      </c>
    </row>
    <row r="11">
      <c r="A11" s="15" t="inlineStr">
        <is>
          <t>NOTAS ADICIONALES EN EL CUADERNO</t>
        </is>
      </c>
      <c r="B11" s="15" t="inlineStr">
        <is>
          <t>Estado / Tipo</t>
        </is>
      </c>
    </row>
    <row r="12">
      <c r="A12" s="16" t="inlineStr">
        <is>
          <t>Liderazgo y Equidad Escolar</t>
        </is>
      </c>
      <c r="B12" s="17" t="inlineStr">
        <is>
          <t>Nota Markdown (Fuente #35)</t>
        </is>
      </c>
    </row>
    <row r="13">
      <c r="A13" s="18" t="inlineStr">
        <is>
          <t>Micropolítica escolar y el liderazgo directivo en la escuela</t>
        </is>
      </c>
      <c r="B13" s="19" t="inlineStr">
        <is>
          <t>Nota interna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2026-10-05T17:09:08Z</dcterms:created>
  <dcterms:modified xmlns:dcterms="http://purl.org/dc/terms/" xmlns:xsi="http://www.w3.org/2001/XMLSchema-instance" xsi:type="dcterms:W3CDTF">2026-10-05T17:09:08Z</dcterms:modified>
</cp:coreProperties>
</file>